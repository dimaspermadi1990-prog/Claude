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Log_Pencarian" sheetId="2" state="visible" r:id="rId4"/>
    <sheet name="Screening" sheetId="3" state="visible" r:id="rId5"/>
    <sheet name="Ekstraksi_RQ1" sheetId="4" state="visible" r:id="rId6"/>
    <sheet name="Rekap" sheetId="5" state="visible" r:id="rId7"/>
    <sheet name="PRISMA" sheetId="6" state="visible" r:id="rId8"/>
    <sheet name="Kodeboo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<sst xmlns="http://schemas.openxmlformats.org/spreadsheetml/2006/main" count="290" uniqueCount="192">
  <si>
    <t xml:space="preserve">Templat SLR-RQ1 — Disertasi 3.0</t>
  </si>
  <si>
    <t xml:space="preserve">RQ1: Bagaimana Computational Thinking dikonseptualisasikan, dikembangkan, dan diukur dalam pembelajaran fisika dan Earth Science (2016–2026)?</t>
  </si>
  <si>
    <t xml:space="preserve">Cara pakai</t>
  </si>
  <si>
    <t xml:space="preserve">1. Log_Pencarian — catat setiap pencarian: tanggal, basis data, string persis, jumlah hasil.</t>
  </si>
  <si>
    <t xml:space="preserve">2. Screening — tempel hasil ekspor Scopus/WoS/ERIC (Penulis, Tahun, Judul, Jurnal, DOI, Abstrak), lalu isi keputusan.</t>
  </si>
  <si>
    <t xml:space="preserve">3. Ekstraksi_RQ1 — satu baris per artikel yang lolos full-text.</t>
  </si>
  <si>
    <t xml:space="preserve">4. Rekap dan PRISMA — terisi otomatis dengan rumus; jangan diketik manual.</t>
  </si>
  <si>
    <t xml:space="preserve">Legenda</t>
  </si>
  <si>
    <t xml:space="preserve">Sel kuning = diisi peneliti. Kolom dengan dropdown mengambil kategori dari lembar Kodebook.</t>
  </si>
  <si>
    <t xml:space="preserve">Baris hijau berlabel CONTOH = contoh format pengisian; boleh dihapus. Baris CONTOH tidak ikut dihitung di Rekap/PRISMA.</t>
  </si>
  <si>
    <t xml:space="preserve">Kolom 'Halaman bukti' wajib diisi agar setiap kode dapat ditelusuri ke teks asli.</t>
  </si>
  <si>
    <t xml:space="preserve">Pembagian kerja</t>
  </si>
  <si>
    <t xml:space="preserve">Peneliti: menjalankan pencarian dan ekspor, mengunduh PDF, memverifikasi keputusan.</t>
  </si>
  <si>
    <t xml:space="preserve">Claude: dedup, screening tahap pertama, ekstraksi dari PDF, rekap, grafik, draf narasi. Keputusan akhir tetap pada peneliti.</t>
  </si>
  <si>
    <t xml:space="preserve">No</t>
  </si>
  <si>
    <t xml:space="preserve">Tanggal</t>
  </si>
  <si>
    <t xml:space="preserve">Basis data</t>
  </si>
  <si>
    <t xml:space="preserve">String pencarian (persis)</t>
  </si>
  <si>
    <t xml:space="preserve">Filter</t>
  </si>
  <si>
    <t xml:space="preserve">Jumlah hasil</t>
  </si>
  <si>
    <t xml:space="preserve">Keterangan</t>
  </si>
  <si>
    <t xml:space="preserve">CONTOH</t>
  </si>
  <si>
    <t xml:space="preserve">2026-10-15</t>
  </si>
  <si>
    <t xml:space="preserve">Scopus</t>
  </si>
  <si>
    <t xml:space="preserve">TITLE-ABS-KEY("computational thinking") AND TITLE-ABS-KEY(physics OR "earth science*" ...)</t>
  </si>
  <si>
    <t xml:space="preserve">2016–2026; ar/cp/re; English</t>
  </si>
  <si>
    <t xml:space="preserve">Angka contoh; ganti dengan hasil nyata</t>
  </si>
  <si>
    <t xml:space="preserve">Screening (PRISMA). Tempel hasil ekspor mulai baris 4; baris 3 = CONTOH.</t>
  </si>
  <si>
    <t xml:space="preserve">Penulis</t>
  </si>
  <si>
    <t xml:space="preserve">Tahun</t>
  </si>
  <si>
    <t xml:space="preserve">Judul</t>
  </si>
  <si>
    <t xml:space="preserve">Jurnal/Prosiding</t>
  </si>
  <si>
    <t xml:space="preserve">DOI</t>
  </si>
  <si>
    <t xml:space="preserve">Abstrak</t>
  </si>
  <si>
    <t xml:space="preserve">Duplikat?</t>
  </si>
  <si>
    <t xml:space="preserve">Keputusan judul-abstrak</t>
  </si>
  <si>
    <t xml:space="preserve">Kode eksklusi (TA)</t>
  </si>
  <si>
    <t xml:space="preserve">Alasan singkat</t>
  </si>
  <si>
    <t xml:space="preserve">Keputusan full-text</t>
  </si>
  <si>
    <t xml:space="preserve">Kode eksklusi (FT)</t>
  </si>
  <si>
    <t xml:space="preserve">Diverifikasi peneliti?</t>
  </si>
  <si>
    <t xml:space="preserve">Hutchins, N. M., et al.</t>
  </si>
  <si>
    <t xml:space="preserve">C2STEM: A system for synergistic learning of physics and computational thinking</t>
  </si>
  <si>
    <t xml:space="preserve">Journal of Science Education and Technology</t>
  </si>
  <si>
    <t xml:space="preserve">10.1007/s10956-019-09804-9</t>
  </si>
  <si>
    <t xml:space="preserve">(tempel abstrak)</t>
  </si>
  <si>
    <t xml:space="preserve">Tidak</t>
  </si>
  <si>
    <t xml:space="preserve">Include</t>
  </si>
  <si>
    <t xml:space="preserve">CT dan fisika eksplisit; SMA; pemodelan komputasional</t>
  </si>
  <si>
    <t xml:space="preserve">Ya</t>
  </si>
  <si>
    <t xml:space="preserve">Identitas</t>
  </si>
  <si>
    <t xml:space="preserve">1a Karakteristik</t>
  </si>
  <si>
    <t xml:space="preserve">1b Konseptualisasi</t>
  </si>
  <si>
    <t xml:space="preserve">1c Pengembangan</t>
  </si>
  <si>
    <t xml:space="preserve">1d Pengukuran</t>
  </si>
  <si>
    <t xml:space="preserve">1e Hasil</t>
  </si>
  <si>
    <t xml:space="preserve">Jejak</t>
  </si>
  <si>
    <t xml:space="preserve">ID</t>
  </si>
  <si>
    <t xml:space="preserve">Jurnal</t>
  </si>
  <si>
    <t xml:space="preserve">Negara</t>
  </si>
  <si>
    <t xml:space="preserve">Jenjang</t>
  </si>
  <si>
    <t xml:space="preserve">Subjek calon guru?</t>
  </si>
  <si>
    <t xml:space="preserve">Desain penelitian</t>
  </si>
  <si>
    <t xml:space="preserve">Ukuran sampel (N)</t>
  </si>
  <si>
    <t xml:space="preserve">Domain</t>
  </si>
  <si>
    <t xml:space="preserve">Materi/topik</t>
  </si>
  <si>
    <t xml:space="preserve">Definisi CT yang dikutip</t>
  </si>
  <si>
    <t xml:space="preserve">Kerangka CT</t>
  </si>
  <si>
    <t xml:space="preserve">Komponen CT yang dipakai</t>
  </si>
  <si>
    <t xml:space="preserve">Model/pendekatan pembelajaran</t>
  </si>
  <si>
    <t xml:space="preserve">Plugged/Unplugged</t>
  </si>
  <si>
    <t xml:space="preserve">Alat/software</t>
  </si>
  <si>
    <t xml:space="preserve">Ada Computational Modeling?</t>
  </si>
  <si>
    <t xml:space="preserve">Jenis masalah</t>
  </si>
  <si>
    <t xml:space="preserve">Ada argumentasi?</t>
  </si>
  <si>
    <t xml:space="preserve">Ada PBL/STEM?</t>
  </si>
  <si>
    <t xml:space="preserve">Jenis instrumen</t>
  </si>
  <si>
    <t xml:space="preserve">Nama instrumen</t>
  </si>
  <si>
    <t xml:space="preserve">Komponen yang diukur</t>
  </si>
  <si>
    <t xml:space="preserve">Validitas/reliabilitas dilaporkan?</t>
  </si>
  <si>
    <t xml:space="preserve">Temuan utama</t>
  </si>
  <si>
    <t xml:space="preserve">Keterbatasan</t>
  </si>
  <si>
    <t xml:space="preserve">Rekomendasi penelitian lanjutan</t>
  </si>
  <si>
    <t xml:space="preserve">Halaman bukti</t>
  </si>
  <si>
    <t xml:space="preserve">Catatan</t>
  </si>
  <si>
    <t xml:space="preserve">Pengkode</t>
  </si>
  <si>
    <t xml:space="preserve">J. Sci. Educ. Technol.</t>
  </si>
  <si>
    <t xml:space="preserve">AS</t>
  </si>
  <si>
    <t xml:space="preserve">SMA/MA/SMK</t>
  </si>
  <si>
    <t xml:space="preserve">Mixed methods</t>
  </si>
  <si>
    <t xml:space="preserve">(isi dari artikel)</t>
  </si>
  <si>
    <t xml:space="preserve">Fisika</t>
  </si>
  <si>
    <t xml:space="preserve">Kinematika/gerak benda</t>
  </si>
  <si>
    <t xml:space="preserve">(kutip definisi CT dari artikel)</t>
  </si>
  <si>
    <t xml:space="preserve">Weintrop dkk. (2016)</t>
  </si>
  <si>
    <t xml:space="preserve">Learning-by-modeling, design-based</t>
  </si>
  <si>
    <t xml:space="preserve">Plugged</t>
  </si>
  <si>
    <t xml:space="preserve">C2STEM (visual + DSML)</t>
  </si>
  <si>
    <t xml:space="preserve">Soal terstruktur</t>
  </si>
  <si>
    <t xml:space="preserve">Kombinasi</t>
  </si>
  <si>
    <t xml:space="preserve">Preparation for future learning assessment</t>
  </si>
  <si>
    <t xml:space="preserve">Tidak jelas</t>
  </si>
  <si>
    <t xml:space="preserve">hlm. ...</t>
  </si>
  <si>
    <t xml:space="preserve">Baris contoh: kategori yang tidak dicek dari teks lengkap ditandai (isi dari artikel)</t>
  </si>
  <si>
    <t xml:space="preserve">Claude</t>
  </si>
  <si>
    <t xml:space="preserve">Rekap otomatis dari Ekstraksi_RQ1 (baris CONTOH tidak dihitung)</t>
  </si>
  <si>
    <t xml:space="preserve">Total artikel dianalisis</t>
  </si>
  <si>
    <t xml:space="preserve">1a Jenjang/subjek</t>
  </si>
  <si>
    <t xml:space="preserve">Jumlah</t>
  </si>
  <si>
    <t xml:space="preserve">%</t>
  </si>
  <si>
    <t xml:space="preserve">SMP</t>
  </si>
  <si>
    <t xml:space="preserve">Sarjana (non-guru)</t>
  </si>
  <si>
    <t xml:space="preserve">Calon guru (pre-service)</t>
  </si>
  <si>
    <t xml:space="preserve">Guru (in-service)</t>
  </si>
  <si>
    <t xml:space="preserve">Campuran</t>
  </si>
  <si>
    <t xml:space="preserve">1a Domain</t>
  </si>
  <si>
    <t xml:space="preserve">Earth Science</t>
  </si>
  <si>
    <t xml:space="preserve">Keduanya</t>
  </si>
  <si>
    <t xml:space="preserve">1a Desain penelitian</t>
  </si>
  <si>
    <t xml:space="preserve">Eksperimen/kuasi-eksperimen</t>
  </si>
  <si>
    <t xml:space="preserve">Pra-eksperimen</t>
  </si>
  <si>
    <t xml:space="preserve">Kualitatif/studi kasus</t>
  </si>
  <si>
    <t xml:space="preserve">D&amp;D/EDR/DBR</t>
  </si>
  <si>
    <t xml:space="preserve">Survei</t>
  </si>
  <si>
    <t xml:space="preserve">Lainnya</t>
  </si>
  <si>
    <t xml:space="preserve">1b Kerangka CT</t>
  </si>
  <si>
    <t xml:space="preserve">Wing (2006)</t>
  </si>
  <si>
    <t xml:space="preserve">Brennan &amp; Resnick (2012)</t>
  </si>
  <si>
    <t xml:space="preserve">Shute dkk. (2017)</t>
  </si>
  <si>
    <t xml:space="preserve">Grover &amp; Pea (2013)</t>
  </si>
  <si>
    <t xml:space="preserve">CSTA/ISTE</t>
  </si>
  <si>
    <t xml:space="preserve">BBC Bitesize/Google (4 pilar)</t>
  </si>
  <si>
    <t xml:space="preserve">Kerangka sendiri</t>
  </si>
  <si>
    <t xml:space="preserve">Tidak disebut</t>
  </si>
  <si>
    <t xml:space="preserve">1c Plugged/unplugged</t>
  </si>
  <si>
    <t xml:space="preserve">Unplugged</t>
  </si>
  <si>
    <t xml:space="preserve">1c Ada Computational Modeling?</t>
  </si>
  <si>
    <t xml:space="preserve">1c Jenis masalah</t>
  </si>
  <si>
    <t xml:space="preserve">Autentik/ill-structured</t>
  </si>
  <si>
    <t xml:space="preserve">1c Ada argumentasi?</t>
  </si>
  <si>
    <t xml:space="preserve">1d Jenis instrumen</t>
  </si>
  <si>
    <t xml:space="preserve">Tes CT (pilihan ganda/esai)</t>
  </si>
  <si>
    <t xml:space="preserve">Skala/kuesioner disposisi</t>
  </si>
  <si>
    <t xml:space="preserve">Rubrik kinerja/proyek</t>
  </si>
  <si>
    <t xml:space="preserve">Analisis artefak/kode</t>
  </si>
  <si>
    <t xml:space="preserve">Observasi/wawancara</t>
  </si>
  <si>
    <t xml:space="preserve">Tidak diukur</t>
  </si>
  <si>
    <t xml:space="preserve">Tahun terbit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</si>
  <si>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</si>
  <si>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</si>
  <si>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</si>
  <si>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</si>
  <si>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</si>
  <si>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</si>
  <si>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</si>
  <si>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</si>
  <si>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</si>
  <si>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</si>
  <si>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</si>
  <si>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Angka diagram PRISMA 2020 (otomatis)</t>
  </si>
  <si>
    <t xml:space="preserve">IDENTIFIKASI</t>
  </si>
  <si>
    <t xml:space="preserve">Rekaman teridentifikasi dari basis data (jumlah Log_Pencarian)</t>
  </si>
  <si>
    <t xml:space="preserve">Rekaman di lembar Screening</t>
  </si>
  <si>
    <t xml:space="preserve">Duplikat dihapus</t>
  </si>
  <si>
    <t xml:space="preserve">SCREENING</t>
  </si>
  <si>
    <t xml:space="preserve">Rekaman di-screening (judul-abstrak)</t>
  </si>
  <si>
    <t xml:space="preserve">Dikeluarkan pada judul-abstrak</t>
  </si>
  <si>
    <t xml:space="preserve">Dinilai teks lengkap (Include + Ragu)</t>
  </si>
  <si>
    <t xml:space="preserve">Dikeluarkan pada teks lengkap</t>
  </si>
  <si>
    <t xml:space="preserve">INKLUSI</t>
  </si>
  <si>
    <t xml:space="preserve">Studi masuk sintesis (dari screening)</t>
  </si>
  <si>
    <t xml:space="preserve">Tambahan dari snowballing (isi manual)</t>
  </si>
  <si>
    <t xml:space="preserve">Input manual: jumlah artikel tambahan dari backward/forward snowballing</t>
  </si>
  <si>
    <t xml:space="preserve">Total studi masuk sintesis</t>
  </si>
  <si>
    <t xml:space="preserve">Cek: rekaman di Screening vs Log (selisih)</t>
  </si>
  <si>
    <t xml:space="preserve">Selisih ≠ 0 wajar bila sebagian hasil Log belum ditempel ke Screening</t>
  </si>
  <si>
    <t xml:space="preserve">Kodebook: daftar kategori untuk dropdown. Tambah kategori di bawah kolom yang sesuai bila perlu (range dropdown s.d. baris 30).</t>
  </si>
  <si>
    <t xml:space="preserve">Keputusan</t>
  </si>
  <si>
    <t xml:space="preserve">Kode_Eksklusi</t>
  </si>
  <si>
    <t xml:space="preserve">YaTidak</t>
  </si>
  <si>
    <t xml:space="preserve">Desain</t>
  </si>
  <si>
    <t xml:space="preserve">Kerangka_CT</t>
  </si>
  <si>
    <t xml:space="preserve">Masalah</t>
  </si>
  <si>
    <t xml:space="preserve">Instrumen</t>
  </si>
  <si>
    <t xml:space="preserve">E1 CT sekilas</t>
  </si>
  <si>
    <t xml:space="preserve">Exclude</t>
  </si>
  <si>
    <t xml:space="preserve">E2 Bukan fisika/Earth Sci</t>
  </si>
  <si>
    <t xml:space="preserve">Ragu</t>
  </si>
  <si>
    <t xml:space="preserve">E3 Bukan pendidikan</t>
  </si>
  <si>
    <t xml:space="preserve">E4 Review/opini</t>
  </si>
  <si>
    <t xml:space="preserve">E5 Full-text tak ada</t>
  </si>
  <si>
    <t xml:space="preserve">E6 Duplikat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</si>
</sst>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42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</row>
    <row r="2" customFormat="false" ht="23.85" hidden="false" customHeight="false" outlineLevel="0" collapsed="false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n">
        <v>0</v>
      </c>
      <c r="G2" s="7" t="s">
        <v>26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50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9" t="s">
        <v>27</v>
      </c>
    </row>
    <row r="2" customFormat="false" ht="42" hidden="false" customHeight="true" outlineLevel="0" collapsed="false">
      <c r="A2" s="6" t="s">
        <v>14</v>
      </c>
      <c r="B2" s="6" t="s">
        <v>16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</row>
    <row r="3" customFormat="false" ht="23.85" hidden="false" customHeight="false" outlineLevel="0" collapsed="false">
      <c r="A3" s="7" t="s">
        <v>21</v>
      </c>
      <c r="B3" s="7" t="s">
        <v>23</v>
      </c>
      <c r="C3" s="7" t="s">
        <v>41</v>
      </c>
      <c r="D3" s="7" t="n">
        <v>2020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/>
      <c r="L3" s="7" t="s">
        <v>48</v>
      </c>
      <c r="M3" s="7" t="s">
        <v>47</v>
      </c>
      <c r="N3" s="7"/>
      <c r="O3" s="7" t="s">
        <v>49</v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</sheetData>
  <dataValidations count="6">
    <dataValidation allowBlank="true" errorStyle="stop" operator="between" showDropDown="false" showErrorMessage="false" showInputMessage="false" sqref="I3:I500" type="list">
      <formula1>Kodebook!$C$3:$C$30</formula1>
      <formula2>0</formula2>
    </dataValidation>
    <dataValidation allowBlank="true" errorStyle="stop" operator="between" showDropDown="false" showErrorMessage="false" showInputMessage="false" sqref="J3:J500" type="list">
      <formula1>Kodebook!$A$3:$A$30</formula1>
      <formula2>0</formula2>
    </dataValidation>
    <dataValidation allowBlank="true" errorStyle="stop" operator="between" showDropDown="false" showErrorMessage="false" showInputMessage="false" sqref="K3:K500" type="list">
      <formula1>Kodebook!$B$3:$B$30</formula1>
      <formula2>0</formula2>
    </dataValidation>
    <dataValidation allowBlank="true" errorStyle="stop" operator="between" showDropDown="false" showErrorMessage="false" showInputMessage="false" sqref="M3:M500" type="list">
      <formula1>Kodebook!$A$3:$A$30</formula1>
      <formula2>0</formula2>
    </dataValidation>
    <dataValidation allowBlank="true" errorStyle="stop" operator="between" showDropDown="false" showErrorMessage="false" showInputMessage="false" sqref="N3:N500" type="list">
      <formula1>Kodebook!$B$3:$B$30</formula1>
      <formula2>0</formula2>
    </dataValidation>
    <dataValidation allowBlank="true" errorStyle="stop" operator="between" showDropDown="false" showErrorMessage="false" showInputMessage="false" sqref="O3:O500" type="list">
      <formula1>Kodebook!$C$3:$C$30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36"/>
    <col collapsed="false" customWidth="true" hidden="false" outlineLevel="0" max="14" min="14" style="0" width="20"/>
    <col collapsed="false" customWidth="true" hidden="false" outlineLevel="0" max="16" min="15" style="0" width="26"/>
    <col collapsed="false" customWidth="true" hidden="false" outlineLevel="0" max="17" min="17" style="0" width="12"/>
    <col collapsed="false" customWidth="true" hidden="false" outlineLevel="0" max="18" min="18" style="0" width="20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4" min="23" style="0" width="22"/>
    <col collapsed="false" customWidth="true" hidden="false" outlineLevel="0" max="25" min="25" style="0" width="24"/>
    <col collapsed="false" customWidth="true" hidden="false" outlineLevel="0" max="26" min="26" style="0" width="12"/>
    <col collapsed="false" customWidth="true" hidden="false" outlineLevel="0" max="27" min="27" style="0" width="40"/>
    <col collapsed="false" customWidth="true" hidden="false" outlineLevel="0" max="29" min="28" style="0" width="30"/>
    <col collapsed="false" customWidth="true" hidden="false" outlineLevel="0" max="30" min="30" style="0" width="12"/>
    <col collapsed="false" customWidth="true" hidden="false" outlineLevel="0" max="31" min="31" style="0" width="24"/>
    <col collapsed="false" customWidth="true" hidden="false" outlineLevel="0" max="32" min="32" style="0" width="10"/>
  </cols>
  <sheetData>
    <row r="1" customFormat="false" ht="15" hidden="false" customHeight="false" outlineLevel="0" collapsed="false">
      <c r="A1" s="10" t="s">
        <v>50</v>
      </c>
      <c r="B1" s="10"/>
      <c r="C1" s="10"/>
      <c r="D1" s="10"/>
      <c r="E1" s="10"/>
      <c r="F1" s="10"/>
      <c r="G1" s="10" t="s">
        <v>51</v>
      </c>
      <c r="H1" s="10"/>
      <c r="I1" s="10"/>
      <c r="J1" s="10"/>
      <c r="K1" s="10"/>
      <c r="L1" s="10"/>
      <c r="M1" s="10" t="s">
        <v>52</v>
      </c>
      <c r="N1" s="10"/>
      <c r="O1" s="10"/>
      <c r="P1" s="10" t="s">
        <v>53</v>
      </c>
      <c r="Q1" s="10"/>
      <c r="R1" s="10"/>
      <c r="S1" s="10"/>
      <c r="T1" s="10"/>
      <c r="U1" s="10"/>
      <c r="V1" s="10"/>
      <c r="W1" s="10" t="s">
        <v>54</v>
      </c>
      <c r="X1" s="10"/>
      <c r="Y1" s="10"/>
      <c r="Z1" s="10"/>
      <c r="AA1" s="10" t="s">
        <v>55</v>
      </c>
      <c r="AB1" s="10"/>
      <c r="AC1" s="10"/>
      <c r="AD1" s="10" t="s">
        <v>56</v>
      </c>
      <c r="AE1" s="10"/>
      <c r="AF1" s="10"/>
    </row>
    <row r="2" customFormat="false" ht="42" hidden="false" customHeight="true" outlineLevel="0" collapsed="false">
      <c r="A2" s="6" t="s">
        <v>57</v>
      </c>
      <c r="B2" s="6" t="s">
        <v>28</v>
      </c>
      <c r="C2" s="6" t="s">
        <v>29</v>
      </c>
      <c r="D2" s="6" t="s">
        <v>30</v>
      </c>
      <c r="E2" s="6" t="s">
        <v>58</v>
      </c>
      <c r="F2" s="6" t="s">
        <v>59</v>
      </c>
      <c r="G2" s="6" t="s">
        <v>60</v>
      </c>
      <c r="H2" s="6" t="s">
        <v>61</v>
      </c>
      <c r="I2" s="6" t="s">
        <v>62</v>
      </c>
      <c r="J2" s="6" t="s">
        <v>63</v>
      </c>
      <c r="K2" s="6" t="s">
        <v>64</v>
      </c>
      <c r="L2" s="6" t="s">
        <v>65</v>
      </c>
      <c r="M2" s="6" t="s">
        <v>66</v>
      </c>
      <c r="N2" s="6" t="s">
        <v>67</v>
      </c>
      <c r="O2" s="6" t="s">
        <v>68</v>
      </c>
      <c r="P2" s="6" t="s">
        <v>69</v>
      </c>
      <c r="Q2" s="6" t="s">
        <v>70</v>
      </c>
      <c r="R2" s="6" t="s">
        <v>71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76</v>
      </c>
      <c r="X2" s="6" t="s">
        <v>77</v>
      </c>
      <c r="Y2" s="6" t="s">
        <v>78</v>
      </c>
      <c r="Z2" s="6" t="s">
        <v>79</v>
      </c>
      <c r="AA2" s="6" t="s">
        <v>80</v>
      </c>
      <c r="AB2" s="6" t="s">
        <v>81</v>
      </c>
      <c r="AC2" s="6" t="s">
        <v>82</v>
      </c>
      <c r="AD2" s="6" t="s">
        <v>83</v>
      </c>
      <c r="AE2" s="6" t="s">
        <v>84</v>
      </c>
      <c r="AF2" s="6" t="s">
        <v>85</v>
      </c>
    </row>
    <row r="3" customFormat="false" ht="35.05" hidden="false" customHeight="false" outlineLevel="0" collapsed="false">
      <c r="A3" s="7" t="s">
        <v>21</v>
      </c>
      <c r="B3" s="7" t="s">
        <v>41</v>
      </c>
      <c r="C3" s="7" t="n">
        <v>2020</v>
      </c>
      <c r="D3" s="7" t="s">
        <v>42</v>
      </c>
      <c r="E3" s="7" t="s">
        <v>86</v>
      </c>
      <c r="F3" s="7" t="s">
        <v>87</v>
      </c>
      <c r="G3" s="7" t="s">
        <v>88</v>
      </c>
      <c r="H3" s="7" t="s">
        <v>46</v>
      </c>
      <c r="I3" s="7" t="s">
        <v>89</v>
      </c>
      <c r="J3" s="7" t="s">
        <v>90</v>
      </c>
      <c r="K3" s="7" t="s">
        <v>91</v>
      </c>
      <c r="L3" s="7" t="s">
        <v>92</v>
      </c>
      <c r="M3" s="7" t="s">
        <v>93</v>
      </c>
      <c r="N3" s="7" t="s">
        <v>94</v>
      </c>
      <c r="O3" s="7" t="s">
        <v>90</v>
      </c>
      <c r="P3" s="7" t="s">
        <v>95</v>
      </c>
      <c r="Q3" s="7" t="s">
        <v>96</v>
      </c>
      <c r="R3" s="7" t="s">
        <v>97</v>
      </c>
      <c r="S3" s="7" t="s">
        <v>49</v>
      </c>
      <c r="T3" s="7" t="s">
        <v>98</v>
      </c>
      <c r="U3" s="7" t="s">
        <v>46</v>
      </c>
      <c r="V3" s="7" t="s">
        <v>46</v>
      </c>
      <c r="W3" s="7" t="s">
        <v>99</v>
      </c>
      <c r="X3" s="7" t="s">
        <v>100</v>
      </c>
      <c r="Y3" s="7" t="s">
        <v>90</v>
      </c>
      <c r="Z3" s="7" t="s">
        <v>101</v>
      </c>
      <c r="AA3" s="7" t="s">
        <v>90</v>
      </c>
      <c r="AB3" s="7" t="s">
        <v>90</v>
      </c>
      <c r="AC3" s="7" t="s">
        <v>90</v>
      </c>
      <c r="AD3" s="7" t="s">
        <v>102</v>
      </c>
      <c r="AE3" s="7" t="s">
        <v>103</v>
      </c>
      <c r="AF3" s="7" t="s">
        <v>104</v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</sheetData>
  <mergeCells count="7">
    <mergeCell ref="A1:F1"/>
    <mergeCell ref="G1:L1"/>
    <mergeCell ref="M1:O1"/>
    <mergeCell ref="P1:V1"/>
    <mergeCell ref="W1:Z1"/>
    <mergeCell ref="AA1:AC1"/>
    <mergeCell ref="AD1:AF1"/>
  </mergeCells>
  <dataValidations count="12">
    <dataValidation allowBlank="true" errorStyle="stop" operator="between" showDropDown="false" showErrorMessage="false" showInputMessage="false" sqref="G3:G300" type="list">
      <formula1>Kodebook!$D$3:$D$30</formula1>
      <formula2>0</formula2>
    </dataValidation>
    <dataValidation allowBlank="true" errorStyle="stop" operator="between" showDropDown="false" showErrorMessage="false" showInputMessage="false" sqref="H3:H300" type="list">
      <formula1>Kodebook!$C$3:$C$30</formula1>
      <formula2>0</formula2>
    </dataValidation>
    <dataValidation allowBlank="true" errorStyle="stop" operator="between" showDropDown="false" showErrorMessage="false" showInputMessage="false" sqref="I3:I300" type="list">
      <formula1>Kodebook!$F$3:$F$30</formula1>
      <formula2>0</formula2>
    </dataValidation>
    <dataValidation allowBlank="true" errorStyle="stop" operator="between" showDropDown="false" showErrorMessage="false" showInputMessage="false" sqref="K3:K300" type="list">
      <formula1>Kodebook!$E$3:$E$30</formula1>
      <formula2>0</formula2>
    </dataValidation>
    <dataValidation allowBlank="true" errorStyle="stop" operator="between" showDropDown="false" showErrorMessage="false" showInputMessage="false" sqref="N3:N300" type="list">
      <formula1>Kodebook!$G$3:$G$30</formula1>
      <formula2>0</formula2>
    </dataValidation>
    <dataValidation allowBlank="true" errorStyle="stop" operator="between" showDropDown="false" showErrorMessage="false" showInputMessage="false" sqref="Q3:Q300" type="list">
      <formula1>Kodebook!$H$3:$H$30</formula1>
      <formula2>0</formula2>
    </dataValidation>
    <dataValidation allowBlank="true" errorStyle="stop" operator="between" showDropDown="false" showErrorMessage="false" showInputMessage="false" sqref="S3:S300" type="list">
      <formula1>Kodebook!$C$3:$C$30</formula1>
      <formula2>0</formula2>
    </dataValidation>
    <dataValidation allowBlank="true" errorStyle="stop" operator="between" showDropDown="false" showErrorMessage="false" showInputMessage="false" sqref="T3:T300" type="list">
      <formula1>Kodebook!$I$3:$I$30</formula1>
      <formula2>0</formula2>
    </dataValidation>
    <dataValidation allowBlank="true" errorStyle="stop" operator="between" showDropDown="false" showErrorMessage="false" showInputMessage="false" sqref="U3:U300" type="list">
      <formula1>Kodebook!$C$3:$C$30</formula1>
      <formula2>0</formula2>
    </dataValidation>
    <dataValidation allowBlank="true" errorStyle="stop" operator="between" showDropDown="false" showErrorMessage="false" showInputMessage="false" sqref="V3:V300" type="list">
      <formula1>Kodebook!$C$3:$C$30</formula1>
      <formula2>0</formula2>
    </dataValidation>
    <dataValidation allowBlank="true" errorStyle="stop" operator="between" showDropDown="false" showErrorMessage="false" showInputMessage="false" sqref="W3:W300" type="list">
      <formula1>Kodebook!$J$3:$J$30</formula1>
      <formula2>0</formula2>
    </dataValidation>
    <dataValidation allowBlank="true" errorStyle="stop" operator="between" showDropDown="false" showErrorMessage="false" showInputMessage="false" sqref="Z3:Z300" type="list">
      <formula1>Kodebook!$C$3:$C$30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11" t="s">
        <v>105</v>
      </c>
    </row>
    <row r="3" customFormat="false" ht="15" hidden="false" customHeight="false" outlineLevel="0" collapsed="false">
      <c r="A3" s="9" t="s">
        <v>106</v>
      </c>
      <c r="B3" s="12" t="n">
        <f aca="false">COUNTIFS(Ekstraksi_RQ1!$A$3:$A$300,"&lt;&gt;CONTOH",Ekstraksi_RQ1!$D$3:$D$300,"&lt;&gt;")</f>
        <v>0</v>
      </c>
    </row>
    <row r="5" customFormat="false" ht="15" hidden="false" customHeight="false" outlineLevel="0" collapsed="false">
      <c r="A5" s="13" t="s">
        <v>107</v>
      </c>
      <c r="B5" s="13" t="s">
        <v>108</v>
      </c>
      <c r="C5" s="13" t="s">
        <v>109</v>
      </c>
    </row>
    <row r="6" customFormat="false" ht="15" hidden="false" customHeight="false" outlineLevel="0" collapsed="false">
      <c r="A6" s="14" t="s">
        <v>110</v>
      </c>
      <c r="B6" s="14" t="n">
        <f aca="false">COUNTIFS(Ekstraksi_RQ1!$G$3:$G$300,A6,Ekstraksi_RQ1!$A$3:$A$300,"&lt;&gt;CONTOH")</f>
        <v>0</v>
      </c>
      <c r="C6" s="15" t="n">
        <f aca="false">IF($B$3=0,0,B6/$B$3)</f>
        <v>0</v>
      </c>
    </row>
    <row r="7" customFormat="false" ht="15" hidden="false" customHeight="false" outlineLevel="0" collapsed="false">
      <c r="A7" s="14" t="s">
        <v>88</v>
      </c>
      <c r="B7" s="14" t="n">
        <f aca="false">COUNTIFS(Ekstraksi_RQ1!$G$3:$G$300,A7,Ekstraksi_RQ1!$A$3:$A$300,"&lt;&gt;CONTOH")</f>
        <v>0</v>
      </c>
      <c r="C7" s="15" t="n">
        <f aca="false">IF($B$3=0,0,B7/$B$3)</f>
        <v>0</v>
      </c>
    </row>
    <row r="8" customFormat="false" ht="15" hidden="false" customHeight="false" outlineLevel="0" collapsed="false">
      <c r="A8" s="14" t="s">
        <v>111</v>
      </c>
      <c r="B8" s="14" t="n">
        <f aca="false">COUNTIFS(Ekstraksi_RQ1!$G$3:$G$300,A8,Ekstraksi_RQ1!$A$3:$A$300,"&lt;&gt;CONTOH")</f>
        <v>0</v>
      </c>
      <c r="C8" s="15" t="n">
        <f aca="false">IF($B$3=0,0,B8/$B$3)</f>
        <v>0</v>
      </c>
    </row>
    <row r="9" customFormat="false" ht="15" hidden="false" customHeight="false" outlineLevel="0" collapsed="false">
      <c r="A9" s="14" t="s">
        <v>112</v>
      </c>
      <c r="B9" s="14" t="n">
        <f aca="false">COUNTIFS(Ekstraksi_RQ1!$G$3:$G$300,A9,Ekstraksi_RQ1!$A$3:$A$300,"&lt;&gt;CONTOH")</f>
        <v>0</v>
      </c>
      <c r="C9" s="15" t="n">
        <f aca="false">IF($B$3=0,0,B9/$B$3)</f>
        <v>0</v>
      </c>
    </row>
    <row r="10" customFormat="false" ht="15" hidden="false" customHeight="false" outlineLevel="0" collapsed="false">
      <c r="A10" s="14" t="s">
        <v>113</v>
      </c>
      <c r="B10" s="14" t="n">
        <f aca="false">COUNTIFS(Ekstraksi_RQ1!$G$3:$G$300,A10,Ekstraksi_RQ1!$A$3:$A$300,"&lt;&gt;CONTOH")</f>
        <v>0</v>
      </c>
      <c r="C10" s="15" t="n">
        <f aca="false">IF($B$3=0,0,B10/$B$3)</f>
        <v>0</v>
      </c>
    </row>
    <row r="11" customFormat="false" ht="15" hidden="false" customHeight="false" outlineLevel="0" collapsed="false">
      <c r="A11" s="14" t="s">
        <v>114</v>
      </c>
      <c r="B11" s="14" t="n">
        <f aca="false">COUNTIFS(Ekstraksi_RQ1!$G$3:$G$300,A11,Ekstraksi_RQ1!$A$3:$A$300,"&lt;&gt;CONTOH")</f>
        <v>0</v>
      </c>
      <c r="C11" s="15" t="n">
        <f aca="false">IF($B$3=0,0,B11/$B$3)</f>
        <v>0</v>
      </c>
    </row>
    <row r="13" customFormat="false" ht="15" hidden="false" customHeight="false" outlineLevel="0" collapsed="false">
      <c r="A13" s="13" t="s">
        <v>115</v>
      </c>
      <c r="B13" s="13" t="s">
        <v>108</v>
      </c>
      <c r="C13" s="13" t="s">
        <v>109</v>
      </c>
    </row>
    <row r="14" customFormat="false" ht="15" hidden="false" customHeight="false" outlineLevel="0" collapsed="false">
      <c r="A14" s="14" t="s">
        <v>91</v>
      </c>
      <c r="B14" s="14" t="n">
        <f aca="false">COUNTIFS(Ekstraksi_RQ1!$K$3:$K$300,A14,Ekstraksi_RQ1!$A$3:$A$300,"&lt;&gt;CONTOH")</f>
        <v>0</v>
      </c>
      <c r="C14" s="15" t="n">
        <f aca="false">IF($B$3=0,0,B14/$B$3)</f>
        <v>0</v>
      </c>
    </row>
    <row r="15" customFormat="false" ht="15" hidden="false" customHeight="false" outlineLevel="0" collapsed="false">
      <c r="A15" s="14" t="s">
        <v>116</v>
      </c>
      <c r="B15" s="14" t="n">
        <f aca="false">COUNTIFS(Ekstraksi_RQ1!$K$3:$K$300,A15,Ekstraksi_RQ1!$A$3:$A$300,"&lt;&gt;CONTOH")</f>
        <v>0</v>
      </c>
      <c r="C15" s="15" t="n">
        <f aca="false">IF($B$3=0,0,B15/$B$3)</f>
        <v>0</v>
      </c>
    </row>
    <row r="16" customFormat="false" ht="15" hidden="false" customHeight="false" outlineLevel="0" collapsed="false">
      <c r="A16" s="14" t="s">
        <v>117</v>
      </c>
      <c r="B16" s="14" t="n">
        <f aca="false">COUNTIFS(Ekstraksi_RQ1!$K$3:$K$300,A16,Ekstraksi_RQ1!$A$3:$A$300,"&lt;&gt;CONTOH")</f>
        <v>0</v>
      </c>
      <c r="C16" s="15" t="n">
        <f aca="false">IF($B$3=0,0,B16/$B$3)</f>
        <v>0</v>
      </c>
    </row>
    <row r="18" customFormat="false" ht="15" hidden="false" customHeight="false" outlineLevel="0" collapsed="false">
      <c r="A18" s="13" t="s">
        <v>118</v>
      </c>
      <c r="B18" s="13" t="s">
        <v>108</v>
      </c>
      <c r="C18" s="13" t="s">
        <v>109</v>
      </c>
    </row>
    <row r="19" customFormat="false" ht="15" hidden="false" customHeight="false" outlineLevel="0" collapsed="false">
      <c r="A19" s="14" t="s">
        <v>119</v>
      </c>
      <c r="B19" s="14" t="n">
        <f aca="false">COUNTIFS(Ekstraksi_RQ1!$I$3:$I$300,A19,Ekstraksi_RQ1!$A$3:$A$300,"&lt;&gt;CONTOH")</f>
        <v>0</v>
      </c>
      <c r="C19" s="15" t="n">
        <f aca="false">IF($B$3=0,0,B19/$B$3)</f>
        <v>0</v>
      </c>
    </row>
    <row r="20" customFormat="false" ht="15" hidden="false" customHeight="false" outlineLevel="0" collapsed="false">
      <c r="A20" s="14" t="s">
        <v>120</v>
      </c>
      <c r="B20" s="14" t="n">
        <f aca="false">COUNTIFS(Ekstraksi_RQ1!$I$3:$I$300,A20,Ekstraksi_RQ1!$A$3:$A$300,"&lt;&gt;CONTOH")</f>
        <v>0</v>
      </c>
      <c r="C20" s="15" t="n">
        <f aca="false">IF($B$3=0,0,B20/$B$3)</f>
        <v>0</v>
      </c>
    </row>
    <row r="21" customFormat="false" ht="15" hidden="false" customHeight="false" outlineLevel="0" collapsed="false">
      <c r="A21" s="14" t="s">
        <v>121</v>
      </c>
      <c r="B21" s="14" t="n">
        <f aca="false">COUNTIFS(Ekstraksi_RQ1!$I$3:$I$300,A21,Ekstraksi_RQ1!$A$3:$A$300,"&lt;&gt;CONTOH")</f>
        <v>0</v>
      </c>
      <c r="C21" s="15" t="n">
        <f aca="false">IF($B$3=0,0,B21/$B$3)</f>
        <v>0</v>
      </c>
    </row>
    <row r="22" customFormat="false" ht="15" hidden="false" customHeight="false" outlineLevel="0" collapsed="false">
      <c r="A22" s="14" t="s">
        <v>89</v>
      </c>
      <c r="B22" s="14" t="n">
        <f aca="false">COUNTIFS(Ekstraksi_RQ1!$I$3:$I$300,A22,Ekstraksi_RQ1!$A$3:$A$300,"&lt;&gt;CONTOH")</f>
        <v>0</v>
      </c>
      <c r="C22" s="15" t="n">
        <f aca="false">IF($B$3=0,0,B22/$B$3)</f>
        <v>0</v>
      </c>
    </row>
    <row r="23" customFormat="false" ht="15" hidden="false" customHeight="false" outlineLevel="0" collapsed="false">
      <c r="A23" s="14" t="s">
        <v>122</v>
      </c>
      <c r="B23" s="14" t="n">
        <f aca="false">COUNTIFS(Ekstraksi_RQ1!$I$3:$I$300,A23,Ekstraksi_RQ1!$A$3:$A$300,"&lt;&gt;CONTOH")</f>
        <v>0</v>
      </c>
      <c r="C23" s="15" t="n">
        <f aca="false">IF($B$3=0,0,B23/$B$3)</f>
        <v>0</v>
      </c>
    </row>
    <row r="24" customFormat="false" ht="15" hidden="false" customHeight="false" outlineLevel="0" collapsed="false">
      <c r="A24" s="14" t="s">
        <v>123</v>
      </c>
      <c r="B24" s="14" t="n">
        <f aca="false">COUNTIFS(Ekstraksi_RQ1!$I$3:$I$300,A24,Ekstraksi_RQ1!$A$3:$A$300,"&lt;&gt;CONTOH")</f>
        <v>0</v>
      </c>
      <c r="C24" s="15" t="n">
        <f aca="false">IF($B$3=0,0,B24/$B$3)</f>
        <v>0</v>
      </c>
    </row>
    <row r="25" customFormat="false" ht="15" hidden="false" customHeight="false" outlineLevel="0" collapsed="false">
      <c r="A25" s="14" t="s">
        <v>124</v>
      </c>
      <c r="B25" s="14" t="n">
        <f aca="false">COUNTIFS(Ekstraksi_RQ1!$I$3:$I$300,A25,Ekstraksi_RQ1!$A$3:$A$300,"&lt;&gt;CONTOH")</f>
        <v>0</v>
      </c>
      <c r="C25" s="15" t="n">
        <f aca="false">IF($B$3=0,0,B25/$B$3)</f>
        <v>0</v>
      </c>
    </row>
    <row r="27" customFormat="false" ht="15" hidden="false" customHeight="false" outlineLevel="0" collapsed="false">
      <c r="A27" s="13" t="s">
        <v>125</v>
      </c>
      <c r="B27" s="13" t="s">
        <v>108</v>
      </c>
      <c r="C27" s="13" t="s">
        <v>109</v>
      </c>
    </row>
    <row r="28" customFormat="false" ht="15" hidden="false" customHeight="false" outlineLevel="0" collapsed="false">
      <c r="A28" s="14" t="s">
        <v>126</v>
      </c>
      <c r="B28" s="14" t="n">
        <f aca="false">COUNTIFS(Ekstraksi_RQ1!$N$3:$N$300,A28,Ekstraksi_RQ1!$A$3:$A$300,"&lt;&gt;CONTOH")</f>
        <v>0</v>
      </c>
      <c r="C28" s="15" t="n">
        <f aca="false">IF($B$3=0,0,B28/$B$3)</f>
        <v>0</v>
      </c>
    </row>
    <row r="29" customFormat="false" ht="15" hidden="false" customHeight="false" outlineLevel="0" collapsed="false">
      <c r="A29" s="14" t="s">
        <v>127</v>
      </c>
      <c r="B29" s="14" t="n">
        <f aca="false">COUNTIFS(Ekstraksi_RQ1!$N$3:$N$300,A29,Ekstraksi_RQ1!$A$3:$A$300,"&lt;&gt;CONTOH")</f>
        <v>0</v>
      </c>
      <c r="C29" s="15" t="n">
        <f aca="false">IF($B$3=0,0,B29/$B$3)</f>
        <v>0</v>
      </c>
    </row>
    <row r="30" customFormat="false" ht="15" hidden="false" customHeight="false" outlineLevel="0" collapsed="false">
      <c r="A30" s="14" t="s">
        <v>94</v>
      </c>
      <c r="B30" s="14" t="n">
        <f aca="false">COUNTIFS(Ekstraksi_RQ1!$N$3:$N$300,A30,Ekstraksi_RQ1!$A$3:$A$300,"&lt;&gt;CONTOH")</f>
        <v>0</v>
      </c>
      <c r="C30" s="15" t="n">
        <f aca="false">IF($B$3=0,0,B30/$B$3)</f>
        <v>0</v>
      </c>
    </row>
    <row r="31" customFormat="false" ht="15" hidden="false" customHeight="false" outlineLevel="0" collapsed="false">
      <c r="A31" s="14" t="s">
        <v>128</v>
      </c>
      <c r="B31" s="14" t="n">
        <f aca="false">COUNTIFS(Ekstraksi_RQ1!$N$3:$N$300,A31,Ekstraksi_RQ1!$A$3:$A$300,"&lt;&gt;CONTOH")</f>
        <v>0</v>
      </c>
      <c r="C31" s="15" t="n">
        <f aca="false">IF($B$3=0,0,B31/$B$3)</f>
        <v>0</v>
      </c>
    </row>
    <row r="32" customFormat="false" ht="15" hidden="false" customHeight="false" outlineLevel="0" collapsed="false">
      <c r="A32" s="14" t="s">
        <v>129</v>
      </c>
      <c r="B32" s="14" t="n">
        <f aca="false">COUNTIFS(Ekstraksi_RQ1!$N$3:$N$300,A32,Ekstraksi_RQ1!$A$3:$A$300,"&lt;&gt;CONTOH")</f>
        <v>0</v>
      </c>
      <c r="C32" s="15" t="n">
        <f aca="false">IF($B$3=0,0,B32/$B$3)</f>
        <v>0</v>
      </c>
    </row>
    <row r="33" customFormat="false" ht="15" hidden="false" customHeight="false" outlineLevel="0" collapsed="false">
      <c r="A33" s="14" t="s">
        <v>130</v>
      </c>
      <c r="B33" s="14" t="n">
        <f aca="false">COUNTIFS(Ekstraksi_RQ1!$N$3:$N$300,A33,Ekstraksi_RQ1!$A$3:$A$300,"&lt;&gt;CONTOH")</f>
        <v>0</v>
      </c>
      <c r="C33" s="15" t="n">
        <f aca="false">IF($B$3=0,0,B33/$B$3)</f>
        <v>0</v>
      </c>
    </row>
    <row r="34" customFormat="false" ht="15" hidden="false" customHeight="false" outlineLevel="0" collapsed="false">
      <c r="A34" s="14" t="s">
        <v>131</v>
      </c>
      <c r="B34" s="14" t="n">
        <f aca="false">COUNTIFS(Ekstraksi_RQ1!$N$3:$N$300,A34,Ekstraksi_RQ1!$A$3:$A$300,"&lt;&gt;CONTOH")</f>
        <v>0</v>
      </c>
      <c r="C34" s="15" t="n">
        <f aca="false">IF($B$3=0,0,B34/$B$3)</f>
        <v>0</v>
      </c>
    </row>
    <row r="35" customFormat="false" ht="15" hidden="false" customHeight="false" outlineLevel="0" collapsed="false">
      <c r="A35" s="14" t="s">
        <v>132</v>
      </c>
      <c r="B35" s="14" t="n">
        <f aca="false">COUNTIFS(Ekstraksi_RQ1!$N$3:$N$300,A35,Ekstraksi_RQ1!$A$3:$A$300,"&lt;&gt;CONTOH")</f>
        <v>0</v>
      </c>
      <c r="C35" s="15" t="n">
        <f aca="false">IF($B$3=0,0,B35/$B$3)</f>
        <v>0</v>
      </c>
    </row>
    <row r="36" customFormat="false" ht="15" hidden="false" customHeight="false" outlineLevel="0" collapsed="false">
      <c r="A36" s="14" t="s">
        <v>133</v>
      </c>
      <c r="B36" s="14" t="n">
        <f aca="false">COUNTIFS(Ekstraksi_RQ1!$N$3:$N$300,A36,Ekstraksi_RQ1!$A$3:$A$300,"&lt;&gt;CONTOH")</f>
        <v>0</v>
      </c>
      <c r="C36" s="15" t="n">
        <f aca="false">IF($B$3=0,0,B36/$B$3)</f>
        <v>0</v>
      </c>
    </row>
    <row r="38" customFormat="false" ht="15" hidden="false" customHeight="false" outlineLevel="0" collapsed="false">
      <c r="A38" s="13" t="s">
        <v>134</v>
      </c>
      <c r="B38" s="13" t="s">
        <v>108</v>
      </c>
      <c r="C38" s="13" t="s">
        <v>109</v>
      </c>
    </row>
    <row r="39" customFormat="false" ht="15" hidden="false" customHeight="false" outlineLevel="0" collapsed="false">
      <c r="A39" s="14" t="s">
        <v>96</v>
      </c>
      <c r="B39" s="14" t="n">
        <f aca="false">COUNTIFS(Ekstraksi_RQ1!$Q$3:$Q$300,A39,Ekstraksi_RQ1!$A$3:$A$300,"&lt;&gt;CONTOH")</f>
        <v>0</v>
      </c>
      <c r="C39" s="15" t="n">
        <f aca="false">IF($B$3=0,0,B39/$B$3)</f>
        <v>0</v>
      </c>
    </row>
    <row r="40" customFormat="false" ht="15" hidden="false" customHeight="false" outlineLevel="0" collapsed="false">
      <c r="A40" s="14" t="s">
        <v>135</v>
      </c>
      <c r="B40" s="14" t="n">
        <f aca="false">COUNTIFS(Ekstraksi_RQ1!$Q$3:$Q$300,A40,Ekstraksi_RQ1!$A$3:$A$300,"&lt;&gt;CONTOH")</f>
        <v>0</v>
      </c>
      <c r="C40" s="15" t="n">
        <f aca="false">IF($B$3=0,0,B40/$B$3)</f>
        <v>0</v>
      </c>
    </row>
    <row r="41" customFormat="false" ht="15" hidden="false" customHeight="false" outlineLevel="0" collapsed="false">
      <c r="A41" s="14" t="s">
        <v>117</v>
      </c>
      <c r="B41" s="14" t="n">
        <f aca="false">COUNTIFS(Ekstraksi_RQ1!$Q$3:$Q$300,A41,Ekstraksi_RQ1!$A$3:$A$300,"&lt;&gt;CONTOH")</f>
        <v>0</v>
      </c>
      <c r="C41" s="15" t="n">
        <f aca="false">IF($B$3=0,0,B41/$B$3)</f>
        <v>0</v>
      </c>
    </row>
    <row r="43" customFormat="false" ht="15" hidden="false" customHeight="false" outlineLevel="0" collapsed="false">
      <c r="A43" s="13" t="s">
        <v>136</v>
      </c>
      <c r="B43" s="13" t="s">
        <v>108</v>
      </c>
      <c r="C43" s="13" t="s">
        <v>109</v>
      </c>
    </row>
    <row r="44" customFormat="false" ht="15" hidden="false" customHeight="false" outlineLevel="0" collapsed="false">
      <c r="A44" s="14" t="s">
        <v>49</v>
      </c>
      <c r="B44" s="14" t="n">
        <f aca="false">COUNTIFS(Ekstraksi_RQ1!$S$3:$S$300,A44,Ekstraksi_RQ1!$A$3:$A$300,"&lt;&gt;CONTOH")</f>
        <v>0</v>
      </c>
      <c r="C44" s="15" t="n">
        <f aca="false">IF($B$3=0,0,B44/$B$3)</f>
        <v>0</v>
      </c>
    </row>
    <row r="45" customFormat="false" ht="15" hidden="false" customHeight="false" outlineLevel="0" collapsed="false">
      <c r="A45" s="14" t="s">
        <v>46</v>
      </c>
      <c r="B45" s="14" t="n">
        <f aca="false">COUNTIFS(Ekstraksi_RQ1!$S$3:$S$300,A45,Ekstraksi_RQ1!$A$3:$A$300,"&lt;&gt;CONTOH")</f>
        <v>0</v>
      </c>
      <c r="C45" s="15" t="n">
        <f aca="false">IF($B$3=0,0,B45/$B$3)</f>
        <v>0</v>
      </c>
    </row>
    <row r="46" customFormat="false" ht="15" hidden="false" customHeight="false" outlineLevel="0" collapsed="false">
      <c r="A46" s="14" t="s">
        <v>101</v>
      </c>
      <c r="B46" s="14" t="n">
        <f aca="false">COUNTIFS(Ekstraksi_RQ1!$S$3:$S$300,A46,Ekstraksi_RQ1!$A$3:$A$300,"&lt;&gt;CONTOH")</f>
        <v>0</v>
      </c>
      <c r="C46" s="15" t="n">
        <f aca="false">IF($B$3=0,0,B46/$B$3)</f>
        <v>0</v>
      </c>
    </row>
    <row r="48" customFormat="false" ht="15" hidden="false" customHeight="false" outlineLevel="0" collapsed="false">
      <c r="A48" s="13" t="s">
        <v>137</v>
      </c>
      <c r="B48" s="13" t="s">
        <v>108</v>
      </c>
      <c r="C48" s="13" t="s">
        <v>109</v>
      </c>
    </row>
    <row r="49" customFormat="false" ht="15" hidden="false" customHeight="false" outlineLevel="0" collapsed="false">
      <c r="A49" s="14" t="s">
        <v>138</v>
      </c>
      <c r="B49" s="14" t="n">
        <f aca="false">COUNTIFS(Ekstraksi_RQ1!$T$3:$T$300,A49,Ekstraksi_RQ1!$A$3:$A$300,"&lt;&gt;CONTOH")</f>
        <v>0</v>
      </c>
      <c r="C49" s="15" t="n">
        <f aca="false">IF($B$3=0,0,B49/$B$3)</f>
        <v>0</v>
      </c>
    </row>
    <row r="50" customFormat="false" ht="15" hidden="false" customHeight="false" outlineLevel="0" collapsed="false">
      <c r="A50" s="14" t="s">
        <v>98</v>
      </c>
      <c r="B50" s="14" t="n">
        <f aca="false">COUNTIFS(Ekstraksi_RQ1!$T$3:$T$300,A50,Ekstraksi_RQ1!$A$3:$A$300,"&lt;&gt;CONTOH")</f>
        <v>0</v>
      </c>
      <c r="C50" s="15" t="n">
        <f aca="false">IF($B$3=0,0,B50/$B$3)</f>
        <v>0</v>
      </c>
    </row>
    <row r="51" customFormat="false" ht="15" hidden="false" customHeight="false" outlineLevel="0" collapsed="false">
      <c r="A51" s="14" t="s">
        <v>114</v>
      </c>
      <c r="B51" s="14" t="n">
        <f aca="false">COUNTIFS(Ekstraksi_RQ1!$T$3:$T$300,A51,Ekstraksi_RQ1!$A$3:$A$300,"&lt;&gt;CONTOH")</f>
        <v>0</v>
      </c>
      <c r="C51" s="15" t="n">
        <f aca="false">IF($B$3=0,0,B51/$B$3)</f>
        <v>0</v>
      </c>
    </row>
    <row r="52" customFormat="false" ht="15" hidden="false" customHeight="false" outlineLevel="0" collapsed="false">
      <c r="A52" s="14" t="s">
        <v>101</v>
      </c>
      <c r="B52" s="14" t="n">
        <f aca="false">COUNTIFS(Ekstraksi_RQ1!$T$3:$T$300,A52,Ekstraksi_RQ1!$A$3:$A$300,"&lt;&gt;CONTOH")</f>
        <v>0</v>
      </c>
      <c r="C52" s="15" t="n">
        <f aca="false">IF($B$3=0,0,B52/$B$3)</f>
        <v>0</v>
      </c>
    </row>
    <row r="54" customFormat="false" ht="15" hidden="false" customHeight="false" outlineLevel="0" collapsed="false">
      <c r="A54" s="13" t="s">
        <v>139</v>
      </c>
      <c r="B54" s="13" t="s">
        <v>108</v>
      </c>
      <c r="C54" s="13" t="s">
        <v>109</v>
      </c>
    </row>
    <row r="55" customFormat="false" ht="15" hidden="false" customHeight="false" outlineLevel="0" collapsed="false">
      <c r="A55" s="14" t="s">
        <v>49</v>
      </c>
      <c r="B55" s="14" t="n">
        <f aca="false">COUNTIFS(Ekstraksi_RQ1!$U$3:$U$300,A55,Ekstraksi_RQ1!$A$3:$A$300,"&lt;&gt;CONTOH")</f>
        <v>0</v>
      </c>
      <c r="C55" s="15" t="n">
        <f aca="false">IF($B$3=0,0,B55/$B$3)</f>
        <v>0</v>
      </c>
    </row>
    <row r="56" customFormat="false" ht="15" hidden="false" customHeight="false" outlineLevel="0" collapsed="false">
      <c r="A56" s="14" t="s">
        <v>46</v>
      </c>
      <c r="B56" s="14" t="n">
        <f aca="false">COUNTIFS(Ekstraksi_RQ1!$U$3:$U$300,A56,Ekstraksi_RQ1!$A$3:$A$300,"&lt;&gt;CONTOH")</f>
        <v>0</v>
      </c>
      <c r="C56" s="15" t="n">
        <f aca="false">IF($B$3=0,0,B56/$B$3)</f>
        <v>0</v>
      </c>
    </row>
    <row r="57" customFormat="false" ht="15" hidden="false" customHeight="false" outlineLevel="0" collapsed="false">
      <c r="A57" s="14" t="s">
        <v>101</v>
      </c>
      <c r="B57" s="14" t="n">
        <f aca="false">COUNTIFS(Ekstraksi_RQ1!$U$3:$U$300,A57,Ekstraksi_RQ1!$A$3:$A$300,"&lt;&gt;CONTOH")</f>
        <v>0</v>
      </c>
      <c r="C57" s="15" t="n">
        <f aca="false">IF($B$3=0,0,B57/$B$3)</f>
        <v>0</v>
      </c>
    </row>
    <row r="59" customFormat="false" ht="15" hidden="false" customHeight="false" outlineLevel="0" collapsed="false">
      <c r="A59" s="13" t="s">
        <v>140</v>
      </c>
      <c r="B59" s="13" t="s">
        <v>108</v>
      </c>
      <c r="C59" s="13" t="s">
        <v>109</v>
      </c>
    </row>
    <row r="60" customFormat="false" ht="15" hidden="false" customHeight="false" outlineLevel="0" collapsed="false">
      <c r="A60" s="14" t="s">
        <v>141</v>
      </c>
      <c r="B60" s="14" t="n">
        <f aca="false">COUNTIFS(Ekstraksi_RQ1!$W$3:$W$300,A60,Ekstraksi_RQ1!$A$3:$A$300,"&lt;&gt;CONTOH")</f>
        <v>0</v>
      </c>
      <c r="C60" s="15" t="n">
        <f aca="false">IF($B$3=0,0,B60/$B$3)</f>
        <v>0</v>
      </c>
    </row>
    <row r="61" customFormat="false" ht="15" hidden="false" customHeight="false" outlineLevel="0" collapsed="false">
      <c r="A61" s="14" t="s">
        <v>142</v>
      </c>
      <c r="B61" s="14" t="n">
        <f aca="false">COUNTIFS(Ekstraksi_RQ1!$W$3:$W$300,A61,Ekstraksi_RQ1!$A$3:$A$300,"&lt;&gt;CONTOH")</f>
        <v>0</v>
      </c>
      <c r="C61" s="15" t="n">
        <f aca="false">IF($B$3=0,0,B61/$B$3)</f>
        <v>0</v>
      </c>
    </row>
    <row r="62" customFormat="false" ht="15" hidden="false" customHeight="false" outlineLevel="0" collapsed="false">
      <c r="A62" s="14" t="s">
        <v>143</v>
      </c>
      <c r="B62" s="14" t="n">
        <f aca="false">COUNTIFS(Ekstraksi_RQ1!$W$3:$W$300,A62,Ekstraksi_RQ1!$A$3:$A$300,"&lt;&gt;CONTOH")</f>
        <v>0</v>
      </c>
      <c r="C62" s="15" t="n">
        <f aca="false">IF($B$3=0,0,B62/$B$3)</f>
        <v>0</v>
      </c>
    </row>
    <row r="63" customFormat="false" ht="15" hidden="false" customHeight="false" outlineLevel="0" collapsed="false">
      <c r="A63" s="14" t="s">
        <v>144</v>
      </c>
      <c r="B63" s="14" t="n">
        <f aca="false">COUNTIFS(Ekstraksi_RQ1!$W$3:$W$300,A63,Ekstraksi_RQ1!$A$3:$A$300,"&lt;&gt;CONTOH")</f>
        <v>0</v>
      </c>
      <c r="C63" s="15" t="n">
        <f aca="false">IF($B$3=0,0,B63/$B$3)</f>
        <v>0</v>
      </c>
    </row>
    <row r="64" customFormat="false" ht="15" hidden="false" customHeight="false" outlineLevel="0" collapsed="false">
      <c r="A64" s="14" t="s">
        <v>145</v>
      </c>
      <c r="B64" s="14" t="n">
        <f aca="false">COUNTIFS(Ekstraksi_RQ1!$W$3:$W$300,A64,Ekstraksi_RQ1!$A$3:$A$300,"&lt;&gt;CONTOH")</f>
        <v>0</v>
      </c>
      <c r="C64" s="15" t="n">
        <f aca="false">IF($B$3=0,0,B64/$B$3)</f>
        <v>0</v>
      </c>
    </row>
    <row r="65" customFormat="false" ht="15" hidden="false" customHeight="false" outlineLevel="0" collapsed="false">
      <c r="A65" s="14" t="s">
        <v>99</v>
      </c>
      <c r="B65" s="14" t="n">
        <f aca="false">COUNTIFS(Ekstraksi_RQ1!$W$3:$W$300,A65,Ekstraksi_RQ1!$A$3:$A$300,"&lt;&gt;CONTOH")</f>
        <v>0</v>
      </c>
      <c r="C65" s="15" t="n">
        <f aca="false">IF($B$3=0,0,B65/$B$3)</f>
        <v>0</v>
      </c>
    </row>
    <row r="66" customFormat="false" ht="15" hidden="false" customHeight="false" outlineLevel="0" collapsed="false">
      <c r="A66" s="14" t="s">
        <v>146</v>
      </c>
      <c r="B66" s="14" t="n">
        <f aca="false">COUNTIFS(Ekstraksi_RQ1!$W$3:$W$300,A66,Ekstraksi_RQ1!$A$3:$A$300,"&lt;&gt;CONTOH")</f>
        <v>0</v>
      </c>
      <c r="C66" s="15" t="n">
        <f aca="false">IF($B$3=0,0,B66/$B$3)</f>
        <v>0</v>
      </c>
    </row>
    <row r="68" customFormat="false" ht="15" hidden="false" customHeight="false" outlineLevel="0" collapsed="false">
      <c r="A68" s="9" t="s">
        <v>147</v>
      </c>
    </row>
    <row r="69" customFormat="false" ht="15" hidden="false" customHeight="false" outlineLevel="0" collapsed="false">
      <c r="A69" s="14" t="s">
        <v>148</v>
      </c>
      <c r="B69" s="14" t="n">
        <f aca="false">COUNTIFS(Ekstraksi_RQ1!$C$3:$C$300,2016,Ekstraksi_RQ1!$A$3:$A$300,"&lt;&gt;CONTOH")</f>
        <v>0</v>
      </c>
    </row>
    <row r="70" customFormat="false" ht="15" hidden="false" customHeight="false" outlineLevel="0" collapsed="false">
      <c r="A70" s="14" t="s">
        <v>149</v>
      </c>
      <c r="B70" s="14" t="n">
        <f aca="false">COUNTIFS(Ekstraksi_RQ1!$C$3:$C$300,2017,Ekstraksi_RQ1!$A$3:$A$300,"&lt;&gt;CONTOH")</f>
        <v>0</v>
      </c>
    </row>
    <row r="71" customFormat="false" ht="15" hidden="false" customHeight="false" outlineLevel="0" collapsed="false">
      <c r="A71" s="14" t="s">
        <v>150</v>
      </c>
      <c r="B71" s="14" t="n">
        <f aca="false">COUNTIFS(Ekstraksi_RQ1!$C$3:$C$300,2018,Ekstraksi_RQ1!$A$3:$A$300,"&lt;&gt;CONTOH")</f>
        <v>0</v>
      </c>
    </row>
    <row r="72" customFormat="false" ht="15" hidden="false" customHeight="false" outlineLevel="0" collapsed="false">
      <c r="A72" s="14" t="s">
        <v>151</v>
      </c>
      <c r="B72" s="14" t="n">
        <f aca="false">COUNTIFS(Ekstraksi_RQ1!$C$3:$C$300,2019,Ekstraksi_RQ1!$A$3:$A$300,"&lt;&gt;CONTOH")</f>
        <v>0</v>
      </c>
    </row>
    <row r="73" customFormat="false" ht="15" hidden="false" customHeight="false" outlineLevel="0" collapsed="false">
      <c r="A73" s="14" t="s">
        <v>152</v>
      </c>
      <c r="B73" s="14" t="n">
        <f aca="false">COUNTIFS(Ekstraksi_RQ1!$C$3:$C$300,2020,Ekstraksi_RQ1!$A$3:$A$300,"&lt;&gt;CONTOH")</f>
        <v>0</v>
      </c>
    </row>
    <row r="74" customFormat="false" ht="15" hidden="false" customHeight="false" outlineLevel="0" collapsed="false">
      <c r="A74" s="14" t="s">
        <v>153</v>
      </c>
      <c r="B74" s="14" t="n">
        <f aca="false">COUNTIFS(Ekstraksi_RQ1!$C$3:$C$300,2021,Ekstraksi_RQ1!$A$3:$A$300,"&lt;&gt;CONTOH")</f>
        <v>0</v>
      </c>
    </row>
    <row r="75" customFormat="false" ht="15" hidden="false" customHeight="false" outlineLevel="0" collapsed="false">
      <c r="A75" s="14" t="s">
        <v>154</v>
      </c>
      <c r="B75" s="14" t="n">
        <f aca="false">COUNTIFS(Ekstraksi_RQ1!$C$3:$C$300,2022,Ekstraksi_RQ1!$A$3:$A$300,"&lt;&gt;CONTOH")</f>
        <v>0</v>
      </c>
    </row>
    <row r="76" customFormat="false" ht="15" hidden="false" customHeight="false" outlineLevel="0" collapsed="false">
      <c r="A76" s="14" t="s">
        <v>155</v>
      </c>
      <c r="B76" s="14" t="n">
        <f aca="false">COUNTIFS(Ekstraksi_RQ1!$C$3:$C$300,2023,Ekstraksi_RQ1!$A$3:$A$300,"&lt;&gt;CONTOH")</f>
        <v>0</v>
      </c>
    </row>
    <row r="77" customFormat="false" ht="15" hidden="false" customHeight="false" outlineLevel="0" collapsed="false">
      <c r="A77" s="14" t="s">
        <v>156</v>
      </c>
      <c r="B77" s="14" t="n">
        <f aca="false">COUNTIFS(Ekstraksi_RQ1!$C$3:$C$300,2024,Ekstraksi_RQ1!$A$3:$A$300,"&lt;&gt;CONTOH")</f>
        <v>0</v>
      </c>
    </row>
    <row r="78" customFormat="false" ht="15" hidden="false" customHeight="false" outlineLevel="0" collapsed="false">
      <c r="A78" s="14" t="s">
        <v>157</v>
      </c>
      <c r="B78" s="14" t="n">
        <f aca="false">COUNTIFS(Ekstraksi_RQ1!$C$3:$C$300,2025,Ekstraksi_RQ1!$A$3:$A$300,"&lt;&gt;CONTOH")</f>
        <v>0</v>
      </c>
    </row>
    <row r="79" customFormat="false" ht="15" hidden="false" customHeight="false" outlineLevel="0" collapsed="false">
      <c r="A79" s="14" t="s">
        <v>158</v>
      </c>
      <c r="B79" s="14" t="n">
        <f aca="false">COUNTIFS(Ekstraksi_RQ1!$C$3:$C$300,2026,Ekstraksi_RQ1!$A$3:$A$300,"&lt;&gt;CONTOH")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1" t="s">
        <v>159</v>
      </c>
    </row>
    <row r="2" customFormat="false" ht="15" hidden="false" customHeight="false" outlineLevel="0" collapsed="false">
      <c r="A2" s="16" t="s">
        <v>160</v>
      </c>
    </row>
    <row r="3" customFormat="false" ht="15" hidden="false" customHeight="false" outlineLevel="0" collapsed="false">
      <c r="A3" s="14" t="s">
        <v>161</v>
      </c>
      <c r="B3" s="14" t="n">
        <f aca="false">SUMIFS(Log_Pencarian!$F$2:$F$20,Log_Pencarian!$A$2:$A$20,"&lt;&gt;CONTOH")</f>
        <v>0</v>
      </c>
    </row>
    <row r="4" customFormat="false" ht="15" hidden="false" customHeight="false" outlineLevel="0" collapsed="false">
      <c r="A4" s="14" t="s">
        <v>162</v>
      </c>
      <c r="B4" s="14" t="n">
        <f aca="false">COUNTIFS(Screening!$A$3:$A$500,"&lt;&gt;CONTOH",Screening!$E$3:$E$500,"&lt;&gt;")</f>
        <v>0</v>
      </c>
    </row>
    <row r="5" customFormat="false" ht="15" hidden="false" customHeight="false" outlineLevel="0" collapsed="false">
      <c r="A5" s="14" t="s">
        <v>163</v>
      </c>
      <c r="B5" s="14" t="n">
        <f aca="false">COUNTIFS(Screening!$A$3:$A$500,"&lt;&gt;CONTOH",Screening!$I$3:$I$500,"Ya")</f>
        <v>0</v>
      </c>
    </row>
    <row r="6" customFormat="false" ht="15" hidden="false" customHeight="false" outlineLevel="0" collapsed="false">
      <c r="A6" s="16" t="s">
        <v>164</v>
      </c>
    </row>
    <row r="7" customFormat="false" ht="15" hidden="false" customHeight="false" outlineLevel="0" collapsed="false">
      <c r="A7" s="14" t="s">
        <v>165</v>
      </c>
      <c r="B7" s="14" t="n">
        <f aca="false">B4-B5</f>
        <v>0</v>
      </c>
    </row>
    <row r="8" customFormat="false" ht="15" hidden="false" customHeight="false" outlineLevel="0" collapsed="false">
      <c r="A8" s="14" t="s">
        <v>166</v>
      </c>
      <c r="B8" s="14" t="n">
        <f aca="false">COUNTIFS(Screening!$A$3:$A$500,"&lt;&gt;CONTOH",Screening!$J$3:$J$500,"Exclude",Screening!$I$3:$I$500,"&lt;&gt;Ya")</f>
        <v>0</v>
      </c>
    </row>
    <row r="9" customFormat="false" ht="15" hidden="false" customHeight="false" outlineLevel="0" collapsed="false">
      <c r="A9" s="14" t="s">
        <v>167</v>
      </c>
      <c r="B9" s="14" t="n">
        <f aca="false">COUNTIFS(Screening!$A$3:$A$500,"&lt;&gt;CONTOH",Screening!$J$3:$J$500,"Include",Screening!$I$3:$I$500,"&lt;&gt;Ya")+COUNTIFS(Screening!$A$3:$A$500,"&lt;&gt;CONTOH",Screening!$J$3:$J$500,"Ragu",Screening!$I$3:$I$500,"&lt;&gt;Ya")</f>
        <v>0</v>
      </c>
    </row>
    <row r="10" customFormat="false" ht="15" hidden="false" customHeight="false" outlineLevel="0" collapsed="false">
      <c r="A10" s="14" t="s">
        <v>168</v>
      </c>
      <c r="B10" s="14" t="n">
        <f aca="false">COUNTIFS(Screening!$A$3:$A$500,"&lt;&gt;CONTOH",Screening!$M$3:$M$500,"Exclude",Screening!$I$3:$I$500,"&lt;&gt;Ya")</f>
        <v>0</v>
      </c>
    </row>
    <row r="11" customFormat="false" ht="15" hidden="false" customHeight="false" outlineLevel="0" collapsed="false">
      <c r="A11" s="16" t="s">
        <v>169</v>
      </c>
    </row>
    <row r="12" customFormat="false" ht="15" hidden="false" customHeight="false" outlineLevel="0" collapsed="false">
      <c r="A12" s="14" t="s">
        <v>170</v>
      </c>
      <c r="B12" s="14" t="n">
        <f aca="false">COUNTIFS(Screening!$A$3:$A$500,"&lt;&gt;CONTOH",Screening!$M$3:$M$500,"Include",Screening!$I$3:$I$500,"&lt;&gt;Ya")</f>
        <v>0</v>
      </c>
    </row>
    <row r="13" customFormat="false" ht="15" hidden="false" customHeight="false" outlineLevel="0" collapsed="false">
      <c r="A13" s="14" t="s">
        <v>171</v>
      </c>
      <c r="B13" s="17" t="n">
        <v>0</v>
      </c>
      <c r="C13" s="18" t="s">
        <v>172</v>
      </c>
    </row>
    <row r="14" customFormat="false" ht="15" hidden="false" customHeight="false" outlineLevel="0" collapsed="false">
      <c r="A14" s="14" t="s">
        <v>173</v>
      </c>
      <c r="B14" s="14" t="n">
        <f aca="false">B12+B13</f>
        <v>0</v>
      </c>
    </row>
    <row r="15" customFormat="false" ht="15" hidden="false" customHeight="false" outlineLevel="0" collapsed="false">
      <c r="A15" s="14" t="s">
        <v>174</v>
      </c>
      <c r="B15" s="14" t="n">
        <f aca="false">B3-B4</f>
        <v>0</v>
      </c>
      <c r="C15" s="18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8"/>
  </cols>
  <sheetData>
    <row r="1" customFormat="false" ht="15" hidden="false" customHeight="false" outlineLevel="0" collapsed="false">
      <c r="A1" s="9" t="s">
        <v>176</v>
      </c>
    </row>
    <row r="2" customFormat="false" ht="15" hidden="false" customHeight="false" outlineLevel="0" collapsed="false">
      <c r="A2" s="13" t="s">
        <v>177</v>
      </c>
      <c r="B2" s="13" t="s">
        <v>178</v>
      </c>
      <c r="C2" s="13" t="s">
        <v>179</v>
      </c>
      <c r="D2" s="13" t="s">
        <v>60</v>
      </c>
      <c r="E2" s="13" t="s">
        <v>64</v>
      </c>
      <c r="F2" s="13" t="s">
        <v>180</v>
      </c>
      <c r="G2" s="13" t="s">
        <v>181</v>
      </c>
      <c r="H2" s="13" t="s">
        <v>96</v>
      </c>
      <c r="I2" s="13" t="s">
        <v>182</v>
      </c>
      <c r="J2" s="13" t="s">
        <v>183</v>
      </c>
    </row>
    <row r="3" customFormat="false" ht="15" hidden="false" customHeight="false" outlineLevel="0" collapsed="false">
      <c r="A3" s="19" t="s">
        <v>47</v>
      </c>
      <c r="B3" s="19" t="s">
        <v>184</v>
      </c>
      <c r="C3" s="19" t="s">
        <v>49</v>
      </c>
      <c r="D3" s="19" t="s">
        <v>110</v>
      </c>
      <c r="E3" s="19" t="s">
        <v>91</v>
      </c>
      <c r="F3" s="19" t="s">
        <v>119</v>
      </c>
      <c r="G3" s="19" t="s">
        <v>126</v>
      </c>
      <c r="H3" s="19" t="s">
        <v>96</v>
      </c>
      <c r="I3" s="19" t="s">
        <v>138</v>
      </c>
      <c r="J3" s="19" t="s">
        <v>141</v>
      </c>
    </row>
    <row r="4" customFormat="false" ht="15" hidden="false" customHeight="false" outlineLevel="0" collapsed="false">
      <c r="A4" s="19" t="s">
        <v>185</v>
      </c>
      <c r="B4" s="19" t="s">
        <v>186</v>
      </c>
      <c r="C4" s="19" t="s">
        <v>46</v>
      </c>
      <c r="D4" s="19" t="s">
        <v>88</v>
      </c>
      <c r="E4" s="19" t="s">
        <v>116</v>
      </c>
      <c r="F4" s="19" t="s">
        <v>120</v>
      </c>
      <c r="G4" s="19" t="s">
        <v>127</v>
      </c>
      <c r="H4" s="19" t="s">
        <v>135</v>
      </c>
      <c r="I4" s="19" t="s">
        <v>98</v>
      </c>
      <c r="J4" s="19" t="s">
        <v>142</v>
      </c>
    </row>
    <row r="5" customFormat="false" ht="15" hidden="false" customHeight="false" outlineLevel="0" collapsed="false">
      <c r="A5" s="19" t="s">
        <v>187</v>
      </c>
      <c r="B5" s="19" t="s">
        <v>188</v>
      </c>
      <c r="C5" s="19" t="s">
        <v>101</v>
      </c>
      <c r="D5" s="19" t="s">
        <v>111</v>
      </c>
      <c r="E5" s="19" t="s">
        <v>117</v>
      </c>
      <c r="F5" s="19" t="s">
        <v>121</v>
      </c>
      <c r="G5" s="19" t="s">
        <v>94</v>
      </c>
      <c r="H5" s="19" t="s">
        <v>117</v>
      </c>
      <c r="I5" s="19" t="s">
        <v>114</v>
      </c>
      <c r="J5" s="19" t="s">
        <v>143</v>
      </c>
    </row>
    <row r="6" customFormat="false" ht="15" hidden="false" customHeight="false" outlineLevel="0" collapsed="false">
      <c r="B6" s="19" t="s">
        <v>189</v>
      </c>
      <c r="D6" s="19" t="s">
        <v>112</v>
      </c>
      <c r="F6" s="19" t="s">
        <v>89</v>
      </c>
      <c r="G6" s="19" t="s">
        <v>128</v>
      </c>
      <c r="I6" s="19" t="s">
        <v>101</v>
      </c>
      <c r="J6" s="19" t="s">
        <v>144</v>
      </c>
    </row>
    <row r="7" customFormat="false" ht="15" hidden="false" customHeight="false" outlineLevel="0" collapsed="false">
      <c r="B7" s="19" t="s">
        <v>190</v>
      </c>
      <c r="D7" s="19" t="s">
        <v>113</v>
      </c>
      <c r="F7" s="19" t="s">
        <v>122</v>
      </c>
      <c r="G7" s="19" t="s">
        <v>129</v>
      </c>
      <c r="J7" s="19" t="s">
        <v>145</v>
      </c>
    </row>
    <row r="8" customFormat="false" ht="15" hidden="false" customHeight="false" outlineLevel="0" collapsed="false">
      <c r="B8" s="19" t="s">
        <v>191</v>
      </c>
      <c r="D8" s="19" t="s">
        <v>114</v>
      </c>
      <c r="F8" s="19" t="s">
        <v>123</v>
      </c>
      <c r="G8" s="19" t="s">
        <v>130</v>
      </c>
      <c r="J8" s="19" t="s">
        <v>99</v>
      </c>
    </row>
    <row r="9" customFormat="false" ht="15" hidden="false" customHeight="false" outlineLevel="0" collapsed="false">
      <c r="F9" s="19" t="s">
        <v>124</v>
      </c>
      <c r="G9" s="19" t="s">
        <v>131</v>
      </c>
      <c r="J9" s="19" t="s">
        <v>146</v>
      </c>
    </row>
    <row r="10" customFormat="false" ht="15" hidden="false" customHeight="false" outlineLevel="0" collapsed="false">
      <c r="G10" s="19" t="s">
        <v>132</v>
      </c>
    </row>
    <row r="11" customFormat="false" ht="15" hidden="false" customHeight="false" outlineLevel="0" collapsed="false">
      <c r="G11" s="19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2026-10-12T10:34:05Z</dcterms:created>
  <dc:creator>openpyxl</dc:creator>
  <dc:description/>
  <dc:language>en-US</dc:language>
  <cp:lastModifiedBy/>
  <dcterms:modified xsi:type="dcterms:W3CDTF">2026-10-12T10:34:06Z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